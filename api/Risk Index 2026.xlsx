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8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<sst xmlns="http://schemas.openxmlformats.org/spreadsheetml/2006/main" count="22" uniqueCount="19">
  <si>
    <t>Province</t>
  </si>
  <si>
    <t>Total Poulation</t>
  </si>
  <si>
    <t>Males</t>
  </si>
  <si>
    <t>Females</t>
  </si>
  <si>
    <t>LFPR</t>
  </si>
  <si>
    <t>Unemployment Rate</t>
  </si>
  <si>
    <t>Piped Water Shared</t>
  </si>
  <si>
    <t>Piped Water Private</t>
  </si>
  <si>
    <t>Risk_2026</t>
  </si>
  <si>
    <t>Level</t>
  </si>
  <si>
    <t>Torba</t>
  </si>
  <si>
    <t>Low</t>
  </si>
  <si>
    <t>Sanma</t>
  </si>
  <si>
    <t>Moderate</t>
  </si>
  <si>
    <t>Penama</t>
  </si>
  <si>
    <t>Malampa</t>
  </si>
  <si>
    <t>Shefa</t>
  </si>
  <si>
    <t>Very High</t>
  </si>
  <si>
    <t>Tafea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</si>
</sst>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sz val="1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6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7" borderId="5" applyNumberFormat="0" applyAlignment="0" applyProtection="0">
      <alignment vertical="center"/>
    </xf>
    <xf numFmtId="0" fontId="11" fillId="8" borderId="6" applyNumberFormat="0" applyAlignment="0" applyProtection="0">
      <alignment vertical="center"/>
    </xf>
    <xf numFmtId="0" fontId="12" fillId="8" borderId="5" applyNumberFormat="0" applyAlignment="0" applyProtection="0">
      <alignment vertical="center"/>
    </xf>
    <xf numFmtId="0" fontId="13" fillId="9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  <xf numFmtId="0" fontId="19" fillId="36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2" borderId="1" xfId="0" applyFill="1" applyBorder="1">
      <alignment vertical="center"/>
    </xf>
    <xf numFmtId="0" fontId="0" fillId="3" borderId="1" xfId="0" applyFill="1" applyBorder="1">
      <alignment vertical="center"/>
    </xf>
    <xf numFmtId="0" fontId="0" fillId="4" borderId="1" xfId="0" applyFill="1" applyBorder="1">
      <alignment vertical="center"/>
    </xf>
    <xf numFmtId="0" fontId="1" fillId="5" borderId="1" xfId="0" applyFont="1" applyFill="1" applyBorder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7"/>
  <sheetViews>
    <sheetView tabSelected="1" workbookViewId="0">
      <selection activeCell="B11" sqref="B11"/>
    </sheetView>
  </sheetViews>
  <sheetFormatPr defaultColWidth="8.72727272727273" defaultRowHeight="14.5" outlineLevelRow="6"/>
  <cols>
    <col min="2" max="2" width="14.6363636363636" customWidth="1"/>
    <col min="3" max="3" width="9.81818181818182" customWidth="1"/>
    <col min="4" max="4" width="12.5454545454545" customWidth="1"/>
    <col min="5" max="5" width="9.81818181818182" customWidth="1"/>
    <col min="6" max="6" width="19.7272727272727" customWidth="1"/>
    <col min="7" max="7" width="19.1818181818182" customWidth="1"/>
    <col min="8" max="8" width="19" customWidth="1"/>
    <col min="9" max="10" width="9.81818181818182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1" t="s">
        <v>10</v>
      </c>
      <c r="B2" s="2">
        <f ca="1" t="shared" ref="B2:B7" si="0">(A2-MIN($B$2:$B$7))/(MAX($B$2:$B$7)-MIN($B$2:$B$7))</f>
        <v>0</v>
      </c>
      <c r="C2" s="2">
        <f ca="1" t="shared" ref="C2:C7" si="1">(B2-MIN($H$2:$H$7))/(MAX($H$2:$H$7)-MIN($H$2:$H$7))</f>
        <v>0</v>
      </c>
      <c r="D2" s="2">
        <f ca="1" t="shared" ref="D2:D7" si="2">(C2-MIN($J$2:$J$7))/(MAX($J$2:$J$7)-MIN($J$2:$J$7))</f>
        <v>0</v>
      </c>
      <c r="E2" s="2">
        <f ca="1" t="shared" ref="E2:E7" si="3">(D2-MIN($N$2:$N$7))/(MAX($N$2:$N$7)-MIN($N$2:$N$7))</f>
        <v>0.479411764705882</v>
      </c>
      <c r="F2" s="2">
        <f ca="1">(E2-MIN(E$2:$Z$7))/(MAX($Z$2:$Z$7)-MIN($Z$2:$Z$7))</f>
        <v>0.247933884297521</v>
      </c>
      <c r="G2" s="2">
        <f ca="1">(F2-MIN(F$2:$AF$7))/(MAX($AF$2:$AF$7)-MIN($AF$2:$AF$7))</f>
        <v>0.392156862745098</v>
      </c>
      <c r="H2" s="2">
        <f ca="1">(G2-MIN(G$2:$AH$7))/(MAX($AH$2:$AH$7)-MIN($AH$2:$AH$7))</f>
        <v>0</v>
      </c>
      <c r="I2" s="1">
        <v>0.19</v>
      </c>
      <c r="J2" s="3" t="s">
        <v>11</v>
      </c>
    </row>
    <row r="3" spans="1:10">
      <c r="A3" s="1" t="s">
        <v>12</v>
      </c>
      <c r="B3" s="2">
        <f ca="1" t="shared" si="0"/>
        <v>0.534811185339478</v>
      </c>
      <c r="C3" s="2">
        <f ca="1" t="shared" si="1"/>
        <v>0.548490452434199</v>
      </c>
      <c r="D3" s="2">
        <f ca="1" t="shared" si="2"/>
        <v>0.519641193421879</v>
      </c>
      <c r="E3" s="2">
        <f ca="1" t="shared" si="3"/>
        <v>1</v>
      </c>
      <c r="F3" s="2">
        <f ca="1">(E3-MIN(E$2:$Z$7))/(MAX($Z$2:$Z$7)-MIN($Z$2:$Z$7))</f>
        <v>0.132231404958678</v>
      </c>
      <c r="G3" s="2">
        <f ca="1">(F3-MIN(F$2:$AF$7))/(MAX($AF$2:$AF$7)-MIN($AF$2:$AF$7))</f>
        <v>0.137254901960784</v>
      </c>
      <c r="H3" s="2">
        <f ca="1">(G3-MIN(G$2:$AH$7))/(MAX($AH$2:$AH$7)-MIN($AH$2:$AH$7))</f>
        <v>0.444444444444444</v>
      </c>
      <c r="I3" s="1">
        <v>0.42</v>
      </c>
      <c r="J3" s="4" t="s">
        <v>13</v>
      </c>
    </row>
    <row r="4" spans="1:10">
      <c r="A4" s="1" t="s">
        <v>14</v>
      </c>
      <c r="B4" s="2">
        <f ca="1" t="shared" si="0"/>
        <v>0.262009346298715</v>
      </c>
      <c r="C4" s="2">
        <f ca="1" t="shared" si="1"/>
        <v>0.264966454498538</v>
      </c>
      <c r="D4" s="2">
        <f ca="1" t="shared" si="2"/>
        <v>0.259029748878729</v>
      </c>
      <c r="E4" s="2">
        <f ca="1" t="shared" si="3"/>
        <v>0.576470588235294</v>
      </c>
      <c r="F4" s="2">
        <f ca="1">(E4-MIN(E$2:$Z$7))/(MAX($Z$2:$Z$7)-MIN($Z$2:$Z$7))</f>
        <v>0.12396694214876</v>
      </c>
      <c r="G4" s="2">
        <f ca="1">(F4-MIN(F$2:$AF$7))/(MAX($AF$2:$AF$7)-MIN($AF$2:$AF$7))</f>
        <v>0</v>
      </c>
      <c r="H4" s="2">
        <f ca="1">(G4-MIN(G$2:$AH$7))/(MAX($AH$2:$AH$7)-MIN($AH$2:$AH$7))</f>
        <v>0.106995884773663</v>
      </c>
      <c r="I4" s="1">
        <v>0.25</v>
      </c>
      <c r="J4" s="4" t="s">
        <v>13</v>
      </c>
    </row>
    <row r="5" spans="1:10">
      <c r="A5" s="1" t="s">
        <v>15</v>
      </c>
      <c r="B5" s="2">
        <f ca="1" t="shared" si="0"/>
        <v>0.336391206276914</v>
      </c>
      <c r="C5" s="2">
        <f ca="1" t="shared" si="1"/>
        <v>0.339411663512816</v>
      </c>
      <c r="D5" s="2">
        <f ca="1" t="shared" si="2"/>
        <v>0.333347778042597</v>
      </c>
      <c r="E5" s="2">
        <f ca="1" t="shared" si="3"/>
        <v>0.708823529411765</v>
      </c>
      <c r="F5" s="2">
        <f ca="1">(E5-MIN(E$2:$Z$7))/(MAX($Z$2:$Z$7)-MIN($Z$2:$Z$7))</f>
        <v>0</v>
      </c>
      <c r="G5" s="2">
        <f ca="1">(F5-MIN(F$2:$AF$7))/(MAX($AF$2:$AF$7)-MIN($AF$2:$AF$7))</f>
        <v>0.77124183006536</v>
      </c>
      <c r="H5" s="2">
        <f ca="1">(G5-MIN(G$2:$AH$7))/(MAX($AH$2:$AH$7)-MIN($AH$2:$AH$7))</f>
        <v>0.320987654320988</v>
      </c>
      <c r="I5" s="1">
        <v>0.42</v>
      </c>
      <c r="J5" s="4" t="s">
        <v>13</v>
      </c>
    </row>
    <row r="6" spans="1:10">
      <c r="A6" s="1" t="s">
        <v>16</v>
      </c>
      <c r="B6" s="2">
        <f ca="1" t="shared" si="0"/>
        <v>1</v>
      </c>
      <c r="C6" s="2">
        <f ca="1" t="shared" si="1"/>
        <v>1</v>
      </c>
      <c r="D6" s="2">
        <f ca="1" t="shared" si="2"/>
        <v>1</v>
      </c>
      <c r="E6" s="2">
        <f ca="1" t="shared" si="3"/>
        <v>0.764705882352941</v>
      </c>
      <c r="F6" s="2">
        <f ca="1">(E6-MIN(E$2:$Z$7))/(MAX($Z$2:$Z$7)-MIN($Z$2:$Z$7))</f>
        <v>0.479338842975207</v>
      </c>
      <c r="G6" s="2">
        <f ca="1">(F6-MIN(F$2:$AF$7))/(MAX($AF$2:$AF$7)-MIN($AF$2:$AF$7))</f>
        <v>0.666666666666667</v>
      </c>
      <c r="H6" s="2">
        <f ca="1">(G6-MIN(G$2:$AH$7))/(MAX($AH$2:$AH$7)-MIN($AH$2:$AH$7))</f>
        <v>1</v>
      </c>
      <c r="I6" s="1">
        <v>0.87</v>
      </c>
      <c r="J6" s="5" t="s">
        <v>17</v>
      </c>
    </row>
    <row r="7" spans="1:10">
      <c r="A7" s="1" t="s">
        <v>18</v>
      </c>
      <c r="B7" s="2">
        <f ca="1" t="shared" si="0"/>
        <v>0.3710890704426</v>
      </c>
      <c r="C7" s="2">
        <f ca="1" t="shared" si="1"/>
        <v>0.368806984345433</v>
      </c>
      <c r="D7" s="2">
        <f ca="1" t="shared" si="2"/>
        <v>0.373366845058826</v>
      </c>
      <c r="E7" s="2">
        <f ca="1" t="shared" si="3"/>
        <v>0</v>
      </c>
      <c r="F7" s="2">
        <f ca="1">(E7-MIN(E$2:$Z$7))/(MAX($Z$2:$Z$7)-MIN($Z$2:$Z$7))</f>
        <v>1</v>
      </c>
      <c r="G7" s="2">
        <f ca="1">(F7-MIN(F$2:$AF$7))/(MAX($AF$2:$AF$7)-MIN($AF$2:$AF$7))</f>
        <v>1</v>
      </c>
      <c r="H7" s="2">
        <f ca="1">(G7-MIN(G$2:$AH$7))/(MAX($AH$2:$AH$7)-MIN($AH$2:$AH$7))</f>
        <v>0.559670781893004</v>
      </c>
      <c r="I7" s="1">
        <v>0.44</v>
      </c>
      <c r="J7" s="4" t="s">
        <v>13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Usman Zaheer</dc:creator>
  <cp:lastModifiedBy>Usman Zaheer</cp:lastModifiedBy>
  <dcterms:created xsi:type="dcterms:W3CDTF">2026-05-22T13:37:00Z</dcterms:created>
  <dcterms:modified xsi:type="dcterms:W3CDTF">2026-05-23T07:22:51Z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3B102B0163114C4D804AF2C7CAF5D24F_11</vt:lpwstr>
  </property>
  <property fmtid="{D5CDD505-2E9C-101B-9397-08002B2CF9AE}" pid="3" name="KSOProductBuildVer">
    <vt:lpwstr>1033-12.1.0.26372</vt:lpwstr>
  </property>
  <property fmtid="{D5CDD505-2E9C-101B-9397-08002B2CF9AE}" pid="4" name="CalculationRule">
    <vt:i4>1</vt:i4>
  </property>
</Properties>
</file>